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vinylc/Downloads/"/>
    </mc:Choice>
  </mc:AlternateContent>
  <xr:revisionPtr revIDLastSave="0" documentId="13_ncr:1_{B7FB8514-5044-2C40-B81C-FD2FA9653382}" xr6:coauthVersionLast="47" xr6:coauthVersionMax="47" xr10:uidLastSave="{00000000-0000-0000-0000-000000000000}"/>
  <bookViews>
    <workbookView xWindow="-51200" yWindow="-4320" windowWidth="51200" windowHeight="28300" tabRatio="500" activeTab="4" xr2:uid="{00000000-000D-0000-FFFF-FFFF00000000}"/>
  </bookViews>
  <sheets>
    <sheet name="표지" sheetId="1" r:id="rId1"/>
    <sheet name="변경 히스토리" sheetId="2" r:id="rId2"/>
    <sheet name="요약 대시보드" sheetId="3" r:id="rId3"/>
    <sheet name="테스트 시나리오" sheetId="4" r:id="rId4"/>
    <sheet name="범례 및 작성가이드" sheetId="5" r:id="rId5"/>
  </sheets>
  <definedNames>
    <definedName name="_xlnm.Print_Area" localSheetId="4">'범례 및 작성가이드'!$A$1:$D$42</definedName>
    <definedName name="_xlnm.Print_Area" localSheetId="1">'변경 히스토리'!$A$1:$E$10</definedName>
    <definedName name="_xlnm.Print_Area" localSheetId="2">'요약 대시보드'!$A$1:$G$31</definedName>
    <definedName name="_xlnm.Print_Area" localSheetId="0">표지!$A$1:$E$15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3" i="3" l="1"/>
  <c r="D14" i="3"/>
  <c r="D15" i="3"/>
  <c r="D16" i="3"/>
  <c r="D12" i="3"/>
  <c r="D21" i="3"/>
  <c r="D22" i="3"/>
  <c r="D23" i="3"/>
  <c r="D20" i="3"/>
  <c r="D29" i="3"/>
  <c r="D28" i="3"/>
  <c r="C29" i="3" l="1"/>
  <c r="C28" i="3"/>
  <c r="C23" i="3"/>
  <c r="C22" i="3"/>
  <c r="C21" i="3"/>
  <c r="C20" i="3"/>
  <c r="C16" i="3"/>
  <c r="C15" i="3"/>
  <c r="C14" i="3"/>
  <c r="C13" i="3"/>
  <c r="C12" i="3"/>
  <c r="F7" i="3"/>
  <c r="D7" i="3"/>
  <c r="B7" i="3"/>
</calcChain>
</file>

<file path=xl/sharedStrings.xml><?xml version="1.0" encoding="utf-8"?>
<sst xmlns="http://schemas.openxmlformats.org/spreadsheetml/2006/main" count="166" uniqueCount="123">
  <si>
    <t>테스트 시나리오 작성 서식</t>
  </si>
  <si>
    <t>Test Scenario Template</t>
  </si>
  <si>
    <t>구분</t>
  </si>
  <si>
    <t>대상 화면설계서</t>
  </si>
  <si>
    <t>버전</t>
  </si>
  <si>
    <t>v1.0</t>
  </si>
  <si>
    <t>작성자</t>
  </si>
  <si>
    <t>작성일</t>
  </si>
  <si>
    <t>YYYY-MM-DD</t>
  </si>
  <si>
    <t>검토자</t>
  </si>
  <si>
    <t>승인자</t>
  </si>
  <si>
    <t>비고</t>
  </si>
  <si>
    <t>Ver</t>
  </si>
  <si>
    <t>변경 내역</t>
  </si>
  <si>
    <t>날짜</t>
  </si>
  <si>
    <t>테스트 시나리오 요약 대시보드</t>
  </si>
  <si>
    <t>전체 테스트 스텝 수</t>
  </si>
  <si>
    <t>항목</t>
  </si>
  <si>
    <t>건수</t>
  </si>
  <si>
    <t>비율</t>
  </si>
  <si>
    <t>Blocker</t>
  </si>
  <si>
    <t>Critical</t>
  </si>
  <si>
    <t>Major</t>
  </si>
  <si>
    <t>Minor</t>
  </si>
  <si>
    <t>Trivial</t>
  </si>
  <si>
    <t>P1</t>
  </si>
  <si>
    <t>P2</t>
  </si>
  <si>
    <t>P3</t>
  </si>
  <si>
    <t>P4</t>
  </si>
  <si>
    <t>시나리오 단계별 스텝 수</t>
  </si>
  <si>
    <t>시나리오 단계</t>
  </si>
  <si>
    <t>예상결과</t>
  </si>
  <si>
    <t>테스트 결과</t>
  </si>
  <si>
    <t>심각도</t>
  </si>
  <si>
    <t>오류내용</t>
  </si>
  <si>
    <t>수정 필요 파트</t>
  </si>
  <si>
    <t>우선순위</t>
  </si>
  <si>
    <t>환경</t>
  </si>
  <si>
    <t>재현율</t>
  </si>
  <si>
    <t>수정완료</t>
  </si>
  <si>
    <t>Android</t>
  </si>
  <si>
    <t>iOS</t>
  </si>
  <si>
    <t>에러</t>
  </si>
  <si>
    <t>변경</t>
  </si>
  <si>
    <t>미적용</t>
  </si>
  <si>
    <t>기획</t>
  </si>
  <si>
    <t>디자인</t>
  </si>
  <si>
    <t>마크업</t>
  </si>
  <si>
    <t>개발</t>
  </si>
  <si>
    <t>작성 가이드</t>
  </si>
  <si>
    <t>작성 규칙</t>
  </si>
  <si>
    <t>예외 케이스</t>
  </si>
  <si>
    <t>미확인 정보</t>
  </si>
  <si>
    <t>단계</t>
  </si>
  <si>
    <t>정의</t>
  </si>
  <si>
    <t>예시</t>
  </si>
  <si>
    <t>화면 진입 전체 불가</t>
  </si>
  <si>
    <t>필수 기능 완료 후에도 다음 단계 진입 불가</t>
  </si>
  <si>
    <t>상태 반영 오류</t>
  </si>
  <si>
    <t>안내 문구 오탈자</t>
  </si>
  <si>
    <t>심각도 연동</t>
  </si>
  <si>
    <t>Blocker / Critical</t>
  </si>
  <si>
    <t>오류 구분</t>
  </si>
  <si>
    <t>시스템 또는 기능 오류</t>
  </si>
  <si>
    <t>재현 불가 또는 추가 확인 필요</t>
  </si>
  <si>
    <t>기획 수정 필요</t>
  </si>
  <si>
    <t>디자인 수정 필요</t>
  </si>
  <si>
    <t>프론트엔드 마크업 수정</t>
  </si>
  <si>
    <t>100%</t>
  </si>
  <si>
    <t>항상 재현됨</t>
  </si>
  <si>
    <t>75%</t>
  </si>
  <si>
    <t>대부분 재현됨</t>
  </si>
  <si>
    <t>50%</t>
  </si>
  <si>
    <t>간헐적으로 재현됨</t>
  </si>
  <si>
    <t>25%</t>
  </si>
  <si>
    <t>드물게 재현됨</t>
  </si>
  <si>
    <t>재현불가</t>
  </si>
  <si>
    <t>재현되지 않음</t>
  </si>
  <si>
    <t>화면설계서 기반 테스트 시나리오 (공통 서식)</t>
  </si>
  <si>
    <t>예) 땡겨요_○○○_v0.0_YYYYMMDD.pdf</t>
  </si>
  <si>
    <t>본 파일은 신규 테스트 시나리오 작성 시 사용하는 공통 서식입니다. '테스트 시나리오' 탭의 예시 행을 참고하여 실제 내용으로 교체해 주세요.</t>
  </si>
  <si>
    <t>(예시) 홍길동</t>
  </si>
  <si>
    <t>(예시) PPT 화면설계서 기반 테스트 시나리오 최초 작성</t>
  </si>
  <si>
    <t>※ '테스트 시나리오' 탭에 데이터가 입력되면 아래 지표가 자동으로 갱신됩니다.</t>
  </si>
  <si>
    <t>Android 결과 O / X</t>
  </si>
  <si>
    <t>iOS 결과 O / X</t>
  </si>
  <si>
    <t>심각도별 건수 (Severity)</t>
  </si>
  <si>
    <t>우선순위별 건수 (Priority)</t>
  </si>
  <si>
    <t>※ '테스트 시나리오' 탭 B열의 각 단계명을 그대로 옮겨 적으면 자동 집계됩니다 (예시 3행 반영).</t>
  </si>
  <si>
    <t>1. (예시) 화면명 A</t>
  </si>
  <si>
    <t>2. (예시) 화면명 B</t>
  </si>
  <si>
    <t>페이지NO/페이지명</t>
  </si>
  <si>
    <t>오류·수정사항 구분</t>
  </si>
  <si>
    <t>Jira 티켓 ID</t>
  </si>
  <si>
    <t>QA 담당자</t>
  </si>
  <si>
    <t>Dev 담당자</t>
  </si>
  <si>
    <t>-----  화면ID  화면명</t>
  </si>
  <si>
    <t>(예시) 기능 단위로 묶은 하나의 조작 흐름을 능동태·현재형으로 서술한다.
- (예시) 정상 케이스에서 기대되는 동작을 서술한다.
- (예시) 필수값 미입력 등 예외 케이스에서 기대되는 동작을 서술한다.
- [추가 확인 필요] 설계서에 명시되지 않아 추가 확인이 필요한 내용은 이렇게 표기한다.</t>
  </si>
  <si>
    <t>(예시) 같은 화면(Stage)의 다음 기능 단위 스텝을 이어서 작성한다.
- (예시) 네트워크 오류, 세션 만료, 뒤로가기 등 공통 예외 케이스를 반영한다.</t>
  </si>
  <si>
    <t>(예시) 새로운 화면으로 넘어가면 시나리오 단계 번호를 이어서 증가시킨다.
- (예시) 리스트 화면의 경우 빈 상태(No data)·로딩 실패 케이스를 반드시 포함한다.</t>
  </si>
  <si>
    <t>'[순번]. [화면/슬라이드 제목]' 형식으로 작성</t>
  </si>
  <si>
    <t>예) 1. 로그인</t>
  </si>
  <si>
    <t>'[화면ID]  [화면명]' 형식으로 작성</t>
  </si>
  <si>
    <t>기능 단위로 묶어 능동태·현재형으로 서술, 정상/예외 케이스를 '-' 글머리로 구분</t>
  </si>
  <si>
    <t>1스텝=1탭 금지</t>
  </si>
  <si>
    <t>네트워크 오류/세션 만료/뒤로가기/필수값 미입력/경계값/권한·URL 접근/빈 상태를 반드시 포함</t>
  </si>
  <si>
    <t>리스트 화면은 빈 상태·로딩 실패 필수</t>
  </si>
  <si>
    <t>설계서에 없는 내용은 임의로 만들지 않고 '[추가 확인 필요]'로 표기</t>
  </si>
  <si>
    <t>심각도 (Severity)</t>
  </si>
  <si>
    <t>서비스 전체 사용 불가. 즉시 수정. 릴리즈 블로킹.</t>
  </si>
  <si>
    <t>핵심 기능 중단. 우회 방법 없음.</t>
  </si>
  <si>
    <t>주요 기능 저하. 우회 방법 존재.</t>
  </si>
  <si>
    <t>부분 기능 이상. 사용에 큰 지장 없음.</t>
  </si>
  <si>
    <t>UI/UX 미세 이슈. 기능 영향 없음.</t>
  </si>
  <si>
    <t>여백 1px 차이</t>
  </si>
  <si>
    <t>우선순위 (Priority)</t>
  </si>
  <si>
    <t>즉시 수정. 현재 스프린트 블로킹.</t>
  </si>
  <si>
    <t>이번 스프린트 내 수정.</t>
  </si>
  <si>
    <t>다음 스프린트 수정.</t>
  </si>
  <si>
    <t>여유 시 수정. 추적만 유지.</t>
  </si>
  <si>
    <t>기획/디자인 변경 요청</t>
  </si>
  <si>
    <t>백엔드/API 수정</t>
  </si>
  <si>
    <t>화면ID가 없으면'[화면명]'형식으로 표기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</si>
</sst>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1"/>
    </font>
    <font>
      <sz val="8"/>
      <name val="나눔명조"/>
      <family val="3"/>
      <charset val="129"/>
    </font>
    <font>
      <b/>
      <sz val="22"/>
      <color theme="0"/>
      <name val="Malgun Gothic"/>
      <family val="2"/>
      <charset val="129"/>
    </font>
    <font>
      <sz val="11"/>
      <color theme="1"/>
      <name val="Malgun Gothic"/>
      <family val="2"/>
      <charset val="129"/>
    </font>
    <font>
      <i/>
      <sz val="11"/>
      <color rgb="FF666666"/>
      <name val="Malgun Gothic"/>
      <family val="2"/>
      <charset val="129"/>
    </font>
    <font>
      <b/>
      <sz val="11"/>
      <color rgb="FFFFFFFF"/>
      <name val="Malgun Gothic"/>
      <family val="2"/>
      <charset val="129"/>
    </font>
    <font>
      <sz val="11"/>
      <color rgb="FF000000"/>
      <name val="Malgun Gothic"/>
      <family val="2"/>
      <charset val="129"/>
    </font>
    <font>
      <sz val="11"/>
      <color rgb="FF666666"/>
      <name val="Malgun Gothic"/>
      <family val="2"/>
      <charset val="129"/>
    </font>
    <font>
      <b/>
      <sz val="10"/>
      <color rgb="FFFFFFFF"/>
      <name val="Malgun Gothic"/>
      <family val="2"/>
      <charset val="129"/>
    </font>
    <font>
      <i/>
      <sz val="10"/>
      <color rgb="FF666666"/>
      <name val="Malgun Gothic"/>
      <family val="2"/>
      <charset val="129"/>
    </font>
    <font>
      <b/>
      <sz val="18"/>
      <color rgb="FFFFFFFF"/>
      <name val="Malgun Gothic"/>
      <family val="2"/>
      <charset val="129"/>
    </font>
    <font>
      <i/>
      <sz val="9"/>
      <color rgb="FF666666"/>
      <name val="Malgun Gothic"/>
      <family val="2"/>
      <charset val="129"/>
    </font>
    <font>
      <b/>
      <sz val="20"/>
      <color rgb="FF000000"/>
      <name val="Malgun Gothic"/>
      <family val="2"/>
      <charset val="129"/>
    </font>
    <font>
      <sz val="10"/>
      <name val="Malgun Gothic"/>
      <family val="2"/>
      <charset val="129"/>
    </font>
    <font>
      <sz val="10"/>
      <color rgb="FF333333"/>
      <name val="Malgun Gothic"/>
      <family val="2"/>
      <charset val="129"/>
    </font>
    <font>
      <b/>
      <sz val="12"/>
      <color rgb="FFFFFFFF"/>
      <name val="Malgun Gothic"/>
      <family val="2"/>
      <charset val="129"/>
    </font>
    <font>
      <b/>
      <sz val="10"/>
      <name val="Malgun Gothic"/>
      <family val="2"/>
      <charset val="129"/>
    </font>
    <font>
      <b/>
      <i/>
      <sz val="10"/>
      <color rgb="FF666666"/>
      <name val="Malgun Gothic"/>
      <family val="2"/>
      <charset val="129"/>
    </font>
  </fonts>
  <fills count="16">
    <fill>
      <patternFill patternType="none"/>
    </fill>
    <fill>
      <patternFill patternType="gray125"/>
    </fill>
    <fill>
      <patternFill patternType="solid">
        <fgColor rgb="FF1A1A1A"/>
        <bgColor rgb="FF1D2A3B"/>
      </patternFill>
    </fill>
    <fill>
      <patternFill patternType="solid">
        <fgColor rgb="FFFFFFFF"/>
        <bgColor rgb="FFF2F2F2"/>
      </patternFill>
    </fill>
    <fill>
      <patternFill patternType="solid">
        <fgColor rgb="FF333333"/>
        <bgColor rgb="FF1D2A3B"/>
      </patternFill>
    </fill>
    <fill>
      <patternFill patternType="solid">
        <fgColor rgb="FFF2F2F2"/>
        <bgColor rgb="FFEDEDED"/>
      </patternFill>
    </fill>
    <fill>
      <patternFill patternType="solid">
        <fgColor rgb="FF924010"/>
        <bgColor rgb="FF993366"/>
      </patternFill>
    </fill>
    <fill>
      <patternFill patternType="solid">
        <fgColor rgb="FF1D2A3B"/>
        <bgColor rgb="FF333333"/>
      </patternFill>
    </fill>
    <fill>
      <patternFill patternType="solid">
        <fgColor rgb="FFAE0000"/>
        <bgColor rgb="FFBE0200"/>
      </patternFill>
    </fill>
    <fill>
      <patternFill patternType="solid">
        <fgColor rgb="FFBE0200"/>
        <bgColor rgb="FFAE0000"/>
      </patternFill>
    </fill>
    <fill>
      <patternFill patternType="solid">
        <fgColor rgb="FF1F4035"/>
        <bgColor rgb="FF1E3A5F"/>
      </patternFill>
    </fill>
    <fill>
      <patternFill patternType="solid">
        <fgColor rgb="FF3C2158"/>
        <bgColor rgb="FF333333"/>
      </patternFill>
    </fill>
    <fill>
      <patternFill patternType="solid">
        <fgColor rgb="FFEDEDED"/>
        <bgColor rgb="FFF2F2F2"/>
      </patternFill>
    </fill>
    <fill>
      <patternFill patternType="solid">
        <fgColor theme="1"/>
        <bgColor rgb="FF244065"/>
      </patternFill>
    </fill>
    <fill>
      <patternFill patternType="solid">
        <fgColor theme="1"/>
        <bgColor rgb="FF1E3A5F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/>
    <xf numFmtId="0" fontId="3" fillId="0" borderId="1" xfId="0" applyFont="1" applyBorder="1"/>
    <xf numFmtId="0" fontId="5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left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6" fillId="12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left" vertical="center" wrapText="1"/>
    </xf>
    <xf numFmtId="0" fontId="8" fillId="14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left" vertical="top" wrapText="1"/>
    </xf>
    <xf numFmtId="0" fontId="9" fillId="5" borderId="2" xfId="0" applyFont="1" applyFill="1" applyBorder="1" applyAlignment="1">
      <alignment horizontal="left" vertical="top" wrapText="1"/>
    </xf>
    <xf numFmtId="0" fontId="2" fillId="15" borderId="0" xfId="0" applyFont="1" applyFill="1" applyAlignment="1">
      <alignment horizontal="left" vertical="center"/>
    </xf>
    <xf numFmtId="0" fontId="4" fillId="0" borderId="0" xfId="0" applyFont="1"/>
    <xf numFmtId="0" fontId="6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indent="1"/>
    </xf>
    <xf numFmtId="0" fontId="11" fillId="0" borderId="0" xfId="0" applyFont="1"/>
    <xf numFmtId="0" fontId="8" fillId="4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indent="1"/>
    </xf>
    <xf numFmtId="0" fontId="8" fillId="4" borderId="3" xfId="0" applyFont="1" applyFill="1" applyBorder="1" applyAlignment="1">
      <alignment horizontal="left" vertical="center"/>
    </xf>
    <xf numFmtId="0" fontId="14" fillId="3" borderId="3" xfId="0" applyFont="1" applyFill="1" applyBorder="1" applyAlignment="1">
      <alignment horizontal="left" vertical="center"/>
    </xf>
    <xf numFmtId="0" fontId="14" fillId="5" borderId="3" xfId="0" applyFont="1" applyFill="1" applyBorder="1" applyAlignment="1">
      <alignment horizontal="left" vertical="center"/>
    </xf>
    <xf numFmtId="0" fontId="8" fillId="14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13" borderId="2" xfId="0" applyFont="1" applyFill="1" applyBorder="1" applyAlignment="1">
      <alignment horizontal="center" vertical="center" wrapText="1"/>
    </xf>
    <xf numFmtId="0" fontId="15" fillId="2" borderId="2" xfId="0" applyFont="1" applyFill="1" applyBorder="1"/>
    <xf numFmtId="0" fontId="15" fillId="4" borderId="2" xfId="0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E0000"/>
      <rgbColor rgb="FF008000"/>
      <rgbColor rgb="FF1D2A3B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DEDED"/>
      <rgbColor rgb="FF3C2158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BE02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E3A5F"/>
      <rgbColor rgb="FF339966"/>
      <rgbColor rgb="FF1A1A1A"/>
      <rgbColor rgb="FF1F4035"/>
      <rgbColor rgb="FF924010"/>
      <rgbColor rgb="FF993366"/>
      <rgbColor rgb="FF24406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E14"/>
  <sheetViews>
    <sheetView showGridLines="0" zoomScaleNormal="100" zoomScaleSheetLayoutView="125" workbookViewId="0"/>
  </sheetViews>
  <sheetFormatPr baseColWidth="10" defaultColWidth="8.6640625" defaultRowHeight="17"/>
  <cols>
    <col min="1" max="1" width="3.1640625" style="1" customWidth="1"/>
    <col min="2" max="2" width="18" style="1" customWidth="1"/>
    <col min="3" max="3" width="46" style="1" customWidth="1"/>
    <col min="4" max="4" width="18" style="1" customWidth="1"/>
    <col min="5" max="5" width="30" style="1" customWidth="1"/>
    <col min="6" max="16384" width="8.6640625" style="1"/>
  </cols>
  <sheetData>
    <row r="2" spans="2:5">
      <c r="B2" s="21" t="s">
        <v>0</v>
      </c>
      <c r="C2" s="21"/>
      <c r="D2" s="21"/>
      <c r="E2" s="21"/>
    </row>
    <row r="3" spans="2:5">
      <c r="B3" s="21"/>
      <c r="C3" s="21"/>
      <c r="D3" s="21"/>
      <c r="E3" s="21"/>
    </row>
    <row r="4" spans="2:5">
      <c r="B4" s="22" t="s">
        <v>1</v>
      </c>
      <c r="C4" s="22"/>
      <c r="D4" s="22"/>
      <c r="E4" s="22"/>
    </row>
    <row r="5" spans="2:5">
      <c r="B5" s="2"/>
      <c r="C5" s="2"/>
      <c r="D5" s="2"/>
      <c r="E5" s="2"/>
    </row>
    <row r="7" spans="2:5" ht="21.75" customHeight="1">
      <c r="B7" s="3" t="s">
        <v>2</v>
      </c>
      <c r="C7" s="23" t="s">
        <v>78</v>
      </c>
      <c r="D7" s="23"/>
      <c r="E7" s="23"/>
    </row>
    <row r="8" spans="2:5" ht="21.75" customHeight="1">
      <c r="B8" s="3" t="s">
        <v>3</v>
      </c>
      <c r="C8" s="24" t="s">
        <v>79</v>
      </c>
      <c r="D8" s="24"/>
      <c r="E8" s="24"/>
    </row>
    <row r="9" spans="2:5" ht="21.75" customHeight="1">
      <c r="B9" s="3" t="s">
        <v>4</v>
      </c>
      <c r="C9" s="24" t="s">
        <v>5</v>
      </c>
      <c r="D9" s="24"/>
      <c r="E9" s="24"/>
    </row>
    <row r="10" spans="2:5" ht="21.75" customHeight="1">
      <c r="B10" s="3" t="s">
        <v>6</v>
      </c>
      <c r="C10" s="24"/>
      <c r="D10" s="24"/>
      <c r="E10" s="24"/>
    </row>
    <row r="11" spans="2:5" ht="21.75" customHeight="1">
      <c r="B11" s="3" t="s">
        <v>7</v>
      </c>
      <c r="C11" s="24" t="s">
        <v>8</v>
      </c>
      <c r="D11" s="24"/>
      <c r="E11" s="24"/>
    </row>
    <row r="12" spans="2:5" ht="21.75" customHeight="1">
      <c r="B12" s="3" t="s">
        <v>9</v>
      </c>
      <c r="C12" s="24"/>
      <c r="D12" s="24"/>
      <c r="E12" s="24"/>
    </row>
    <row r="13" spans="2:5" ht="21.75" customHeight="1">
      <c r="B13" s="3" t="s">
        <v>10</v>
      </c>
      <c r="C13" s="24"/>
      <c r="D13" s="24"/>
      <c r="E13" s="24"/>
    </row>
    <row r="14" spans="2:5" ht="33.75" customHeight="1">
      <c r="B14" s="3" t="s">
        <v>11</v>
      </c>
      <c r="C14" s="23" t="s">
        <v>80</v>
      </c>
      <c r="D14" s="23"/>
      <c r="E14" s="23"/>
    </row>
  </sheetData>
  <mergeCells count="10">
    <mergeCell ref="C10:E10"/>
    <mergeCell ref="C11:E11"/>
    <mergeCell ref="C12:E12"/>
    <mergeCell ref="C13:E13"/>
    <mergeCell ref="C14:E14"/>
    <mergeCell ref="B2:E3"/>
    <mergeCell ref="B4:E4"/>
    <mergeCell ref="C7:E7"/>
    <mergeCell ref="C8:E8"/>
    <mergeCell ref="C9:E9"/>
  </mergeCells>
  <phoneticPr fontId="1" type="noConversion"/>
  <printOptions horizontalCentered="1"/>
  <pageMargins left="0.4" right="0.4" top="0.5" bottom="0.5" header="0.511811023622047" footer="0.511811023622047"/>
  <pageSetup scale="80"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E3"/>
  <sheetViews>
    <sheetView showGridLines="0" zoomScaleNormal="100" workbookViewId="0"/>
  </sheetViews>
  <sheetFormatPr baseColWidth="10" defaultColWidth="8.6640625" defaultRowHeight="17"/>
  <cols>
    <col min="1" max="1" width="3" style="1" customWidth="1"/>
    <col min="2" max="2" width="8" style="1" customWidth="1"/>
    <col min="3" max="3" width="14" style="1" customWidth="1"/>
    <col min="4" max="4" width="62" style="1" customWidth="1"/>
    <col min="5" max="5" width="14" style="1" customWidth="1"/>
    <col min="6" max="16384" width="8.6640625" style="1"/>
  </cols>
  <sheetData>
    <row r="2" spans="2:5" ht="19.5" customHeight="1">
      <c r="B2" s="4" t="s">
        <v>12</v>
      </c>
      <c r="C2" s="4" t="s">
        <v>6</v>
      </c>
      <c r="D2" s="4" t="s">
        <v>13</v>
      </c>
      <c r="E2" s="4" t="s">
        <v>14</v>
      </c>
    </row>
    <row r="3" spans="2:5" ht="25.5" customHeight="1">
      <c r="B3" s="5" t="s">
        <v>5</v>
      </c>
      <c r="C3" s="6" t="s">
        <v>81</v>
      </c>
      <c r="D3" s="6" t="s">
        <v>82</v>
      </c>
      <c r="E3" s="5" t="s">
        <v>8</v>
      </c>
    </row>
  </sheetData>
  <phoneticPr fontId="1" type="noConversion"/>
  <printOptions horizontalCentered="1"/>
  <pageMargins left="0.4" right="0.4" top="0.5" bottom="0.5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G29"/>
  <sheetViews>
    <sheetView showGridLines="0" zoomScaleNormal="100" workbookViewId="0"/>
  </sheetViews>
  <sheetFormatPr baseColWidth="10" defaultColWidth="8.6640625" defaultRowHeight="17"/>
  <cols>
    <col min="1" max="1" width="3" style="1" customWidth="1"/>
    <col min="2" max="2" width="30" style="1" customWidth="1"/>
    <col min="3" max="4" width="14" style="1" customWidth="1"/>
    <col min="5" max="5" width="4" style="1" customWidth="1"/>
    <col min="6" max="6" width="30" style="1" customWidth="1"/>
    <col min="7" max="7" width="14" style="1" customWidth="1"/>
    <col min="8" max="16384" width="8.6640625" style="1"/>
  </cols>
  <sheetData>
    <row r="2" spans="2:7" ht="18" customHeight="1">
      <c r="B2" s="25" t="s">
        <v>15</v>
      </c>
      <c r="C2" s="25"/>
      <c r="D2" s="25"/>
      <c r="E2" s="25"/>
      <c r="F2" s="25"/>
      <c r="G2" s="25"/>
    </row>
    <row r="3" spans="2:7" ht="18" customHeight="1">
      <c r="B3" s="25"/>
      <c r="C3" s="25"/>
      <c r="D3" s="25"/>
      <c r="E3" s="25"/>
      <c r="F3" s="25"/>
      <c r="G3" s="25"/>
    </row>
    <row r="4" spans="2:7">
      <c r="B4" s="26" t="s">
        <v>83</v>
      </c>
      <c r="C4" s="26"/>
      <c r="D4" s="26"/>
      <c r="E4" s="26"/>
      <c r="F4" s="26"/>
      <c r="G4" s="26"/>
    </row>
    <row r="6" spans="2:7" ht="16" customHeight="1">
      <c r="B6" s="27" t="s">
        <v>16</v>
      </c>
      <c r="C6" s="27"/>
      <c r="D6" s="27" t="s">
        <v>84</v>
      </c>
      <c r="E6" s="27"/>
      <c r="F6" s="27" t="s">
        <v>85</v>
      </c>
      <c r="G6" s="27"/>
    </row>
    <row r="7" spans="2:7">
      <c r="B7" s="28">
        <f>COUNTA('테스트 시나리오'!$D$4:$D$300)</f>
        <v>3</v>
      </c>
      <c r="C7" s="28"/>
      <c r="D7" s="28" t="str">
        <f>COUNTIF('테스트 시나리오'!$E$4:$E$300,"O")&amp;" / "&amp;COUNTIF('테스트 시나리오'!$E$4:$E$300,"X")</f>
        <v>0 / 0</v>
      </c>
      <c r="E7" s="28"/>
      <c r="F7" s="28" t="str">
        <f>COUNTIF('테스트 시나리오'!$F$4:$F$300,"O")&amp;" / "&amp;COUNTIF('테스트 시나리오'!$F$4:$F$300,"X")</f>
        <v>0 / 0</v>
      </c>
      <c r="G7" s="28"/>
    </row>
    <row r="8" spans="2:7">
      <c r="B8" s="28"/>
      <c r="C8" s="28"/>
      <c r="D8" s="28"/>
      <c r="E8" s="28"/>
      <c r="F8" s="28"/>
      <c r="G8" s="28"/>
    </row>
    <row r="10" spans="2:7" ht="19.5" customHeight="1">
      <c r="B10" s="29" t="s">
        <v>86</v>
      </c>
      <c r="C10" s="29"/>
      <c r="D10" s="29"/>
      <c r="E10" s="29"/>
      <c r="F10" s="29"/>
      <c r="G10" s="29"/>
    </row>
    <row r="11" spans="2:7" ht="16" customHeight="1">
      <c r="B11" s="7" t="s">
        <v>17</v>
      </c>
      <c r="C11" s="8" t="s">
        <v>18</v>
      </c>
      <c r="D11" s="30" t="s">
        <v>19</v>
      </c>
      <c r="E11" s="30"/>
      <c r="F11" s="30"/>
      <c r="G11" s="30"/>
    </row>
    <row r="12" spans="2:7">
      <c r="B12" s="9" t="s">
        <v>20</v>
      </c>
      <c r="C12" s="10">
        <f>COUNTIF('테스트 시나리오'!$G$4:$G$300,"Blocker")</f>
        <v>0</v>
      </c>
      <c r="D12" s="31" t="str">
        <f>IF(MAX($C$12,$C$13,$C$14,$C$15,$C$16)=0,"",REPT("■",ROUND(C12/MAX($C$12,$C$13,$C$14,$C$15,$C$16)*10,0)))</f>
        <v/>
      </c>
      <c r="E12" s="31"/>
      <c r="F12" s="31"/>
      <c r="G12" s="31"/>
    </row>
    <row r="13" spans="2:7">
      <c r="B13" s="11" t="s">
        <v>21</v>
      </c>
      <c r="C13" s="12">
        <f>COUNTIF('테스트 시나리오'!$G$4:$G$300,"Critical")</f>
        <v>0</v>
      </c>
      <c r="D13" s="31" t="str">
        <f t="shared" ref="D13:D16" si="0">IF(MAX($C$12,$C$13,$C$14,$C$15,$C$16)=0,"",REPT("■",ROUND(C13/MAX($C$12,$C$13,$C$14,$C$15,$C$16)*10,0)))</f>
        <v/>
      </c>
      <c r="E13" s="31"/>
      <c r="F13" s="31"/>
      <c r="G13" s="31"/>
    </row>
    <row r="14" spans="2:7">
      <c r="B14" s="9" t="s">
        <v>22</v>
      </c>
      <c r="C14" s="10">
        <f>COUNTIF('테스트 시나리오'!$G$4:$G$300,"Major")</f>
        <v>0</v>
      </c>
      <c r="D14" s="31" t="str">
        <f t="shared" si="0"/>
        <v/>
      </c>
      <c r="E14" s="31"/>
      <c r="F14" s="31"/>
      <c r="G14" s="31"/>
    </row>
    <row r="15" spans="2:7">
      <c r="B15" s="11" t="s">
        <v>23</v>
      </c>
      <c r="C15" s="12">
        <f>COUNTIF('테스트 시나리오'!$G$4:$G$300,"Minor")</f>
        <v>0</v>
      </c>
      <c r="D15" s="31" t="str">
        <f t="shared" si="0"/>
        <v/>
      </c>
      <c r="E15" s="31"/>
      <c r="F15" s="31"/>
      <c r="G15" s="31"/>
    </row>
    <row r="16" spans="2:7">
      <c r="B16" s="9" t="s">
        <v>24</v>
      </c>
      <c r="C16" s="10">
        <f>COUNTIF('테스트 시나리오'!$G$4:$G$300,"Trivial")</f>
        <v>0</v>
      </c>
      <c r="D16" s="31" t="str">
        <f t="shared" si="0"/>
        <v/>
      </c>
      <c r="E16" s="31"/>
      <c r="F16" s="31"/>
      <c r="G16" s="31"/>
    </row>
    <row r="18" spans="2:7" ht="19.5" customHeight="1">
      <c r="B18" s="29" t="s">
        <v>87</v>
      </c>
      <c r="C18" s="29"/>
      <c r="D18" s="29"/>
      <c r="E18" s="29"/>
      <c r="F18" s="29"/>
      <c r="G18" s="29"/>
    </row>
    <row r="19" spans="2:7" ht="16" customHeight="1">
      <c r="B19" s="7" t="s">
        <v>17</v>
      </c>
      <c r="C19" s="8" t="s">
        <v>18</v>
      </c>
      <c r="D19" s="30" t="s">
        <v>19</v>
      </c>
      <c r="E19" s="30"/>
      <c r="F19" s="30"/>
      <c r="G19" s="30"/>
    </row>
    <row r="20" spans="2:7">
      <c r="B20" s="9" t="s">
        <v>25</v>
      </c>
      <c r="C20" s="10">
        <f>COUNTIF('테스트 시나리오'!$P$4:$P$300,"P1")</f>
        <v>0</v>
      </c>
      <c r="D20" s="31" t="str">
        <f>IF(MAX($C$20,$C$21,$C$22,$C$23)=0,"",REPT("■",ROUND(C20/MAX($C$20,$C$21,$C$22,$C$23)*10,0)))</f>
        <v/>
      </c>
      <c r="E20" s="31"/>
      <c r="F20" s="31"/>
      <c r="G20" s="31"/>
    </row>
    <row r="21" spans="2:7">
      <c r="B21" s="11" t="s">
        <v>26</v>
      </c>
      <c r="C21" s="12">
        <f>COUNTIF('테스트 시나리오'!$P$4:$P$300,"P2")</f>
        <v>0</v>
      </c>
      <c r="D21" s="31" t="str">
        <f t="shared" ref="D21:D23" si="1">IF(MAX($C$20,$C$21,$C$22,$C$23)=0,"",REPT("■",ROUND(C21/MAX($C$20,$C$21,$C$22,$C$23)*10,0)))</f>
        <v/>
      </c>
      <c r="E21" s="31"/>
      <c r="F21" s="31"/>
      <c r="G21" s="31"/>
    </row>
    <row r="22" spans="2:7">
      <c r="B22" s="9" t="s">
        <v>27</v>
      </c>
      <c r="C22" s="10">
        <f>COUNTIF('테스트 시나리오'!$P$4:$P$300,"P3")</f>
        <v>0</v>
      </c>
      <c r="D22" s="31" t="str">
        <f t="shared" si="1"/>
        <v/>
      </c>
      <c r="E22" s="31"/>
      <c r="F22" s="31"/>
      <c r="G22" s="31"/>
    </row>
    <row r="23" spans="2:7">
      <c r="B23" s="11" t="s">
        <v>28</v>
      </c>
      <c r="C23" s="12">
        <f>COUNTIF('테스트 시나리오'!$P$4:$P$300,"P4")</f>
        <v>0</v>
      </c>
      <c r="D23" s="31" t="str">
        <f t="shared" si="1"/>
        <v/>
      </c>
      <c r="E23" s="31"/>
      <c r="F23" s="31"/>
      <c r="G23" s="31"/>
    </row>
    <row r="25" spans="2:7" ht="19.5" customHeight="1">
      <c r="B25" s="29" t="s">
        <v>29</v>
      </c>
      <c r="C25" s="29"/>
      <c r="D25" s="29"/>
      <c r="E25" s="29"/>
      <c r="F25" s="29"/>
      <c r="G25" s="29"/>
    </row>
    <row r="26" spans="2:7">
      <c r="B26" s="26" t="s">
        <v>88</v>
      </c>
      <c r="C26" s="26"/>
      <c r="D26" s="26"/>
      <c r="E26" s="26"/>
      <c r="F26" s="26"/>
      <c r="G26" s="26"/>
    </row>
    <row r="27" spans="2:7" ht="16" customHeight="1">
      <c r="B27" s="7" t="s">
        <v>17</v>
      </c>
      <c r="C27" s="8" t="s">
        <v>18</v>
      </c>
      <c r="D27" s="30" t="s">
        <v>19</v>
      </c>
      <c r="E27" s="30"/>
      <c r="F27" s="30"/>
      <c r="G27" s="30"/>
    </row>
    <row r="28" spans="2:7">
      <c r="B28" s="9" t="s">
        <v>89</v>
      </c>
      <c r="C28" s="10">
        <f>COUNTIF('테스트 시나리오'!$B$4:$B$300,"1. (예시) 화면명 A")</f>
        <v>1</v>
      </c>
      <c r="D28" s="31" t="str">
        <f>IF(MAX($C$28,$C$29)=0,"",REPT("■",ROUND(C28/MAX($C$28,$C$29)*10,0)))</f>
        <v>■■■■■■■■■■</v>
      </c>
      <c r="E28" s="31"/>
      <c r="F28" s="31"/>
      <c r="G28" s="31"/>
    </row>
    <row r="29" spans="2:7">
      <c r="B29" s="11" t="s">
        <v>90</v>
      </c>
      <c r="C29" s="12">
        <f>COUNTIF('테스트 시나리오'!$B$4:$B$300,"2. (예시) 화면명 B")</f>
        <v>1</v>
      </c>
      <c r="D29" s="32" t="str">
        <f>IF(MAX($C$28,$C$29)=0,"",REPT("■",ROUND(C29/MAX($C$28,$C$29)*10,0)))</f>
        <v>■■■■■■■■■■</v>
      </c>
      <c r="E29" s="32"/>
      <c r="F29" s="32"/>
      <c r="G29" s="32"/>
    </row>
  </sheetData>
  <mergeCells count="26">
    <mergeCell ref="D29:G29"/>
    <mergeCell ref="D23:G23"/>
    <mergeCell ref="B25:G25"/>
    <mergeCell ref="B26:G26"/>
    <mergeCell ref="D27:G27"/>
    <mergeCell ref="D28:G28"/>
    <mergeCell ref="B18:G18"/>
    <mergeCell ref="D19:G19"/>
    <mergeCell ref="D20:G20"/>
    <mergeCell ref="D21:G21"/>
    <mergeCell ref="D22:G22"/>
    <mergeCell ref="D12:G12"/>
    <mergeCell ref="D13:G13"/>
    <mergeCell ref="D14:G14"/>
    <mergeCell ref="D15:G15"/>
    <mergeCell ref="D16:G16"/>
    <mergeCell ref="B7:C8"/>
    <mergeCell ref="D7:E8"/>
    <mergeCell ref="F7:G8"/>
    <mergeCell ref="B10:G10"/>
    <mergeCell ref="D11:G11"/>
    <mergeCell ref="B2:G3"/>
    <mergeCell ref="B4:G4"/>
    <mergeCell ref="B6:C6"/>
    <mergeCell ref="D6:E6"/>
    <mergeCell ref="F6:G6"/>
  </mergeCells>
  <phoneticPr fontId="1" type="noConversion"/>
  <printOptions horizontalCentered="1"/>
  <pageMargins left="0.4" right="0.4" top="0.5" bottom="0.5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W6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6640625" defaultRowHeight="17"/>
  <cols>
    <col min="1" max="1" width="3" style="1" customWidth="1"/>
    <col min="2" max="2" width="20" style="1" customWidth="1"/>
    <col min="3" max="3" width="24" style="1" customWidth="1"/>
    <col min="4" max="4" width="50" style="1" customWidth="1"/>
    <col min="5" max="6" width="10" style="1" customWidth="1"/>
    <col min="7" max="7" width="11" style="1" customWidth="1"/>
    <col min="8" max="8" width="24" style="1" customWidth="1"/>
    <col min="9" max="15" width="8" style="1" customWidth="1"/>
    <col min="16" max="16" width="9" style="1" customWidth="1"/>
    <col min="17" max="17" width="13" style="1" customWidth="1"/>
    <col min="18" max="19" width="10" style="1" customWidth="1"/>
    <col min="20" max="21" width="12" style="1" customWidth="1"/>
    <col min="22" max="22" width="10" style="1" customWidth="1"/>
    <col min="23" max="23" width="16" style="1" customWidth="1"/>
    <col min="24" max="16384" width="8.6640625" style="1"/>
  </cols>
  <sheetData>
    <row r="1" spans="2:23" ht="17" customHeight="1"/>
    <row r="2" spans="2:23" ht="19.5" customHeight="1">
      <c r="B2" s="42" t="s">
        <v>30</v>
      </c>
      <c r="C2" s="42" t="s">
        <v>91</v>
      </c>
      <c r="D2" s="42" t="s">
        <v>31</v>
      </c>
      <c r="E2" s="33" t="s">
        <v>32</v>
      </c>
      <c r="F2" s="33"/>
      <c r="G2" s="34" t="s">
        <v>33</v>
      </c>
      <c r="H2" s="39" t="s">
        <v>34</v>
      </c>
      <c r="I2" s="40" t="s">
        <v>92</v>
      </c>
      <c r="J2" s="40"/>
      <c r="K2" s="40"/>
      <c r="L2" s="41" t="s">
        <v>35</v>
      </c>
      <c r="M2" s="41"/>
      <c r="N2" s="41"/>
      <c r="O2" s="41"/>
      <c r="P2" s="38" t="s">
        <v>36</v>
      </c>
      <c r="Q2" s="38" t="s">
        <v>93</v>
      </c>
      <c r="R2" s="38" t="s">
        <v>37</v>
      </c>
      <c r="S2" s="38" t="s">
        <v>38</v>
      </c>
      <c r="T2" s="35" t="s">
        <v>94</v>
      </c>
      <c r="U2" s="35" t="s">
        <v>95</v>
      </c>
      <c r="V2" s="35" t="s">
        <v>39</v>
      </c>
      <c r="W2" s="35" t="s">
        <v>11</v>
      </c>
    </row>
    <row r="3" spans="2:23" ht="19.5" customHeight="1">
      <c r="B3" s="42"/>
      <c r="C3" s="42"/>
      <c r="D3" s="42"/>
      <c r="E3" s="15" t="s">
        <v>40</v>
      </c>
      <c r="F3" s="15" t="s">
        <v>41</v>
      </c>
      <c r="G3" s="34"/>
      <c r="H3" s="39"/>
      <c r="I3" s="16" t="s">
        <v>42</v>
      </c>
      <c r="J3" s="16" t="s">
        <v>43</v>
      </c>
      <c r="K3" s="16" t="s">
        <v>44</v>
      </c>
      <c r="L3" s="17" t="s">
        <v>45</v>
      </c>
      <c r="M3" s="17" t="s">
        <v>46</v>
      </c>
      <c r="N3" s="17" t="s">
        <v>47</v>
      </c>
      <c r="O3" s="17" t="s">
        <v>48</v>
      </c>
      <c r="P3" s="38"/>
      <c r="Q3" s="38"/>
      <c r="R3" s="38"/>
      <c r="S3" s="38"/>
      <c r="T3" s="35"/>
      <c r="U3" s="35"/>
      <c r="V3" s="35"/>
      <c r="W3" s="35"/>
    </row>
    <row r="4" spans="2:23" ht="112">
      <c r="B4" s="36" t="s">
        <v>89</v>
      </c>
      <c r="C4" s="37" t="s">
        <v>96</v>
      </c>
      <c r="D4" s="19" t="s">
        <v>97</v>
      </c>
      <c r="E4" s="10"/>
      <c r="F4" s="10"/>
      <c r="G4" s="10"/>
      <c r="H4" s="9"/>
      <c r="I4" s="9"/>
      <c r="J4" s="9"/>
      <c r="K4" s="9"/>
      <c r="L4" s="9"/>
      <c r="M4" s="9"/>
      <c r="N4" s="9"/>
      <c r="O4" s="9"/>
      <c r="P4" s="10"/>
      <c r="Q4" s="10"/>
      <c r="R4" s="10"/>
      <c r="S4" s="10"/>
      <c r="T4" s="9"/>
      <c r="U4" s="9"/>
      <c r="V4" s="9"/>
      <c r="W4" s="9"/>
    </row>
    <row r="5" spans="2:23" ht="64">
      <c r="B5" s="36"/>
      <c r="C5" s="37"/>
      <c r="D5" s="20" t="s">
        <v>98</v>
      </c>
      <c r="E5" s="12"/>
      <c r="F5" s="12"/>
      <c r="G5" s="12"/>
      <c r="H5" s="11"/>
      <c r="I5" s="11"/>
      <c r="J5" s="11"/>
      <c r="K5" s="11"/>
      <c r="L5" s="11"/>
      <c r="M5" s="11"/>
      <c r="N5" s="11"/>
      <c r="O5" s="11"/>
      <c r="P5" s="12"/>
      <c r="Q5" s="12"/>
      <c r="R5" s="12"/>
      <c r="S5" s="12"/>
      <c r="T5" s="11"/>
      <c r="U5" s="11"/>
      <c r="V5" s="11"/>
      <c r="W5" s="11"/>
    </row>
    <row r="6" spans="2:23" ht="64">
      <c r="B6" s="18" t="s">
        <v>90</v>
      </c>
      <c r="C6" s="37"/>
      <c r="D6" s="19" t="s">
        <v>99</v>
      </c>
      <c r="E6" s="10"/>
      <c r="F6" s="10"/>
      <c r="G6" s="10"/>
      <c r="H6" s="9"/>
      <c r="I6" s="9"/>
      <c r="J6" s="9"/>
      <c r="K6" s="9"/>
      <c r="L6" s="9"/>
      <c r="M6" s="9"/>
      <c r="N6" s="9"/>
      <c r="O6" s="9"/>
      <c r="P6" s="10"/>
      <c r="Q6" s="10"/>
      <c r="R6" s="10"/>
      <c r="S6" s="10"/>
      <c r="T6" s="9"/>
      <c r="U6" s="9"/>
      <c r="V6" s="9"/>
      <c r="W6" s="9"/>
    </row>
  </sheetData>
  <mergeCells count="18">
    <mergeCell ref="C2:C3"/>
    <mergeCell ref="D2:D3"/>
    <mergeCell ref="E2:F2"/>
    <mergeCell ref="G2:G3"/>
    <mergeCell ref="W2:W3"/>
    <mergeCell ref="B4:B5"/>
    <mergeCell ref="C4:C6"/>
    <mergeCell ref="R2:R3"/>
    <mergeCell ref="S2:S3"/>
    <mergeCell ref="T2:T3"/>
    <mergeCell ref="U2:U3"/>
    <mergeCell ref="V2:V3"/>
    <mergeCell ref="H2:H3"/>
    <mergeCell ref="I2:K2"/>
    <mergeCell ref="L2:O2"/>
    <mergeCell ref="P2:P3"/>
    <mergeCell ref="Q2:Q3"/>
    <mergeCell ref="B2:B3"/>
  </mergeCells>
  <phoneticPr fontId="1" type="noConversion"/>
  <dataValidations count="4">
    <dataValidation type="list" allowBlank="1" sqref="E4:F500" xr:uid="{00000000-0002-0000-0300-000000000000}">
      <formula1>"O,X"</formula1>
      <formula2>0</formula2>
    </dataValidation>
    <dataValidation type="list" allowBlank="1" sqref="G4:G500" xr:uid="{00000000-0002-0000-0300-000002000000}">
      <formula1>"Blocker,Critical,Major,Minor,Trivial"</formula1>
      <formula2>0</formula2>
    </dataValidation>
    <dataValidation type="list" allowBlank="1" sqref="P4:P500" xr:uid="{00000000-0002-0000-0300-000003000000}">
      <formula1>"P1,P2,P3,P4"</formula1>
      <formula2>0</formula2>
    </dataValidation>
    <dataValidation type="list" allowBlank="1" sqref="S4:S500" xr:uid="{00000000-0002-0000-0300-000004000000}">
      <formula1>"100%,75%,50%,25%,재현불가"</formula1>
      <formula2>0</formula2>
    </dataValidation>
  </dataValidations>
  <pageMargins left="0.75" right="0.75" top="1" bottom="1" header="0.511811023622047" footer="0.511811023622047"/>
  <pageSetup paperSize="9" scale="27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D41"/>
  <sheetViews>
    <sheetView showGridLines="0" tabSelected="1" zoomScaleNormal="100" workbookViewId="0">
      <selection activeCell="F8" sqref="F8"/>
    </sheetView>
  </sheetViews>
  <sheetFormatPr baseColWidth="10" defaultColWidth="8.6640625" defaultRowHeight="17"/>
  <cols>
    <col min="1" max="1" width="3" style="1" customWidth="1"/>
    <col min="2" max="2" width="16" style="1" customWidth="1"/>
    <col min="3" max="3" width="62" style="1" customWidth="1"/>
    <col min="4" max="4" width="30" style="1" customWidth="1"/>
    <col min="5" max="16384" width="8.6640625" style="1"/>
  </cols>
  <sheetData>
    <row r="1" spans="2:4" ht="17" customHeight="1"/>
    <row r="2" spans="2:4" ht="19.5" customHeight="1">
      <c r="B2" s="43" t="s">
        <v>49</v>
      </c>
      <c r="C2" s="43"/>
      <c r="D2" s="43"/>
    </row>
    <row r="3" spans="2:4" ht="16" customHeight="1">
      <c r="B3" s="13" t="s">
        <v>17</v>
      </c>
      <c r="C3" s="13" t="s">
        <v>50</v>
      </c>
      <c r="D3" s="13" t="s">
        <v>11</v>
      </c>
    </row>
    <row r="4" spans="2:4" ht="30" customHeight="1">
      <c r="B4" s="14" t="s">
        <v>30</v>
      </c>
      <c r="C4" s="14" t="s">
        <v>100</v>
      </c>
      <c r="D4" s="14" t="s">
        <v>101</v>
      </c>
    </row>
    <row r="5" spans="2:4" ht="30" customHeight="1">
      <c r="B5" s="14" t="s">
        <v>91</v>
      </c>
      <c r="C5" s="14" t="s">
        <v>102</v>
      </c>
      <c r="D5" s="14" t="s">
        <v>122</v>
      </c>
    </row>
    <row r="6" spans="2:4" ht="30" customHeight="1">
      <c r="B6" s="14" t="s">
        <v>31</v>
      </c>
      <c r="C6" s="14" t="s">
        <v>103</v>
      </c>
      <c r="D6" s="14" t="s">
        <v>104</v>
      </c>
    </row>
    <row r="7" spans="2:4" ht="30" customHeight="1">
      <c r="B7" s="14" t="s">
        <v>51</v>
      </c>
      <c r="C7" s="14" t="s">
        <v>105</v>
      </c>
      <c r="D7" s="14" t="s">
        <v>106</v>
      </c>
    </row>
    <row r="8" spans="2:4" ht="30" customHeight="1">
      <c r="B8" s="14" t="s">
        <v>52</v>
      </c>
      <c r="C8" s="14" t="s">
        <v>107</v>
      </c>
      <c r="D8" s="14"/>
    </row>
    <row r="10" spans="2:4" ht="19.5" customHeight="1">
      <c r="B10" s="44" t="s">
        <v>108</v>
      </c>
      <c r="C10" s="44"/>
      <c r="D10" s="44"/>
    </row>
    <row r="11" spans="2:4" ht="16" customHeight="1">
      <c r="B11" s="13" t="s">
        <v>53</v>
      </c>
      <c r="C11" s="13" t="s">
        <v>54</v>
      </c>
      <c r="D11" s="13" t="s">
        <v>55</v>
      </c>
    </row>
    <row r="12" spans="2:4" ht="30" customHeight="1">
      <c r="B12" s="14" t="s">
        <v>20</v>
      </c>
      <c r="C12" s="14" t="s">
        <v>109</v>
      </c>
      <c r="D12" s="14" t="s">
        <v>56</v>
      </c>
    </row>
    <row r="13" spans="2:4" ht="30" customHeight="1">
      <c r="B13" s="14" t="s">
        <v>21</v>
      </c>
      <c r="C13" s="14" t="s">
        <v>110</v>
      </c>
      <c r="D13" s="14" t="s">
        <v>57</v>
      </c>
    </row>
    <row r="14" spans="2:4" ht="30" customHeight="1">
      <c r="B14" s="14" t="s">
        <v>22</v>
      </c>
      <c r="C14" s="14" t="s">
        <v>111</v>
      </c>
      <c r="D14" s="14" t="s">
        <v>58</v>
      </c>
    </row>
    <row r="15" spans="2:4" ht="30" customHeight="1">
      <c r="B15" s="14" t="s">
        <v>23</v>
      </c>
      <c r="C15" s="14" t="s">
        <v>112</v>
      </c>
      <c r="D15" s="14" t="s">
        <v>59</v>
      </c>
    </row>
    <row r="16" spans="2:4" ht="30" customHeight="1">
      <c r="B16" s="14" t="s">
        <v>24</v>
      </c>
      <c r="C16" s="14" t="s">
        <v>113</v>
      </c>
      <c r="D16" s="14" t="s">
        <v>114</v>
      </c>
    </row>
    <row r="18" spans="2:4" ht="19.5" customHeight="1">
      <c r="B18" s="44" t="s">
        <v>115</v>
      </c>
      <c r="C18" s="44"/>
      <c r="D18" s="44"/>
    </row>
    <row r="19" spans="2:4" ht="16" customHeight="1">
      <c r="B19" s="13" t="s">
        <v>53</v>
      </c>
      <c r="C19" s="13" t="s">
        <v>54</v>
      </c>
      <c r="D19" s="13" t="s">
        <v>60</v>
      </c>
    </row>
    <row r="20" spans="2:4" ht="30" customHeight="1">
      <c r="B20" s="14" t="s">
        <v>25</v>
      </c>
      <c r="C20" s="14" t="s">
        <v>116</v>
      </c>
      <c r="D20" s="14" t="s">
        <v>61</v>
      </c>
    </row>
    <row r="21" spans="2:4" ht="30" customHeight="1">
      <c r="B21" s="14" t="s">
        <v>26</v>
      </c>
      <c r="C21" s="14" t="s">
        <v>117</v>
      </c>
      <c r="D21" s="14" t="s">
        <v>22</v>
      </c>
    </row>
    <row r="22" spans="2:4" ht="30" customHeight="1">
      <c r="B22" s="14" t="s">
        <v>27</v>
      </c>
      <c r="C22" s="14" t="s">
        <v>118</v>
      </c>
      <c r="D22" s="14" t="s">
        <v>23</v>
      </c>
    </row>
    <row r="23" spans="2:4" ht="30" customHeight="1">
      <c r="B23" s="14" t="s">
        <v>28</v>
      </c>
      <c r="C23" s="14" t="s">
        <v>119</v>
      </c>
      <c r="D23" s="14" t="s">
        <v>24</v>
      </c>
    </row>
    <row r="25" spans="2:4" ht="19.5" customHeight="1">
      <c r="B25" s="44" t="s">
        <v>62</v>
      </c>
      <c r="C25" s="44"/>
      <c r="D25" s="44"/>
    </row>
    <row r="26" spans="2:4" ht="16" customHeight="1">
      <c r="B26" s="13" t="s">
        <v>17</v>
      </c>
      <c r="C26" s="13" t="s">
        <v>54</v>
      </c>
      <c r="D26" s="13"/>
    </row>
    <row r="27" spans="2:4" ht="30" customHeight="1">
      <c r="B27" s="14" t="s">
        <v>42</v>
      </c>
      <c r="C27" s="14" t="s">
        <v>63</v>
      </c>
      <c r="D27" s="14"/>
    </row>
    <row r="28" spans="2:4" ht="30" customHeight="1">
      <c r="B28" s="14" t="s">
        <v>43</v>
      </c>
      <c r="C28" s="14" t="s">
        <v>120</v>
      </c>
      <c r="D28" s="14"/>
    </row>
    <row r="29" spans="2:4" ht="30" customHeight="1">
      <c r="B29" s="14" t="s">
        <v>44</v>
      </c>
      <c r="C29" s="14" t="s">
        <v>64</v>
      </c>
      <c r="D29" s="14"/>
    </row>
    <row r="30" spans="2:4" ht="30" customHeight="1">
      <c r="B30" s="14" t="s">
        <v>45</v>
      </c>
      <c r="C30" s="14" t="s">
        <v>65</v>
      </c>
      <c r="D30" s="14"/>
    </row>
    <row r="31" spans="2:4" ht="30" customHeight="1">
      <c r="B31" s="14" t="s">
        <v>46</v>
      </c>
      <c r="C31" s="14" t="s">
        <v>66</v>
      </c>
      <c r="D31" s="14"/>
    </row>
    <row r="32" spans="2:4" ht="30" customHeight="1">
      <c r="B32" s="14" t="s">
        <v>47</v>
      </c>
      <c r="C32" s="14" t="s">
        <v>67</v>
      </c>
      <c r="D32" s="14"/>
    </row>
    <row r="33" spans="2:4" ht="30" customHeight="1">
      <c r="B33" s="14" t="s">
        <v>48</v>
      </c>
      <c r="C33" s="14" t="s">
        <v>121</v>
      </c>
      <c r="D33" s="14"/>
    </row>
    <row r="35" spans="2:4" ht="19.5" customHeight="1">
      <c r="B35" s="44" t="s">
        <v>38</v>
      </c>
      <c r="C35" s="44"/>
      <c r="D35" s="44"/>
    </row>
    <row r="36" spans="2:4" ht="16" customHeight="1">
      <c r="B36" s="13" t="s">
        <v>53</v>
      </c>
      <c r="C36" s="13" t="s">
        <v>54</v>
      </c>
      <c r="D36" s="13"/>
    </row>
    <row r="37" spans="2:4" ht="30" customHeight="1">
      <c r="B37" s="14" t="s">
        <v>68</v>
      </c>
      <c r="C37" s="14" t="s">
        <v>69</v>
      </c>
      <c r="D37" s="14"/>
    </row>
    <row r="38" spans="2:4" ht="30" customHeight="1">
      <c r="B38" s="14" t="s">
        <v>70</v>
      </c>
      <c r="C38" s="14" t="s">
        <v>71</v>
      </c>
      <c r="D38" s="14"/>
    </row>
    <row r="39" spans="2:4" ht="30" customHeight="1">
      <c r="B39" s="14" t="s">
        <v>72</v>
      </c>
      <c r="C39" s="14" t="s">
        <v>73</v>
      </c>
      <c r="D39" s="14"/>
    </row>
    <row r="40" spans="2:4" ht="30" customHeight="1">
      <c r="B40" s="14" t="s">
        <v>74</v>
      </c>
      <c r="C40" s="14" t="s">
        <v>75</v>
      </c>
      <c r="D40" s="14"/>
    </row>
    <row r="41" spans="2:4" ht="30" customHeight="1">
      <c r="B41" s="14" t="s">
        <v>76</v>
      </c>
      <c r="C41" s="14" t="s">
        <v>77</v>
      </c>
      <c r="D41" s="14"/>
    </row>
  </sheetData>
  <mergeCells count="5">
    <mergeCell ref="B2:D2"/>
    <mergeCell ref="B10:D10"/>
    <mergeCell ref="B18:D18"/>
    <mergeCell ref="B25:D25"/>
    <mergeCell ref="B35:D35"/>
  </mergeCells>
  <phoneticPr fontId="1" type="noConversion"/>
  <printOptions horizontalCentered="1"/>
  <pageMargins left="0.4" right="0.4" top="0.5" bottom="0.5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4</vt:i4>
      </vt:variant>
    </vt:vector>
  </HeadingPairs>
  <TitlesOfParts>
    <vt:vector size="9" baseType="lpstr">
      <vt:lpstr>표지</vt:lpstr>
      <vt:lpstr>변경 히스토리</vt:lpstr>
      <vt:lpstr>요약 대시보드</vt:lpstr>
      <vt:lpstr>테스트 시나리오</vt:lpstr>
      <vt:lpstr>범례 및 작성가이드</vt:lpstr>
      <vt:lpstr>'범례 및 작성가이드'!Print_Area</vt:lpstr>
      <vt:lpstr>'변경 히스토리'!Print_Area</vt:lpstr>
      <vt:lpstr>'요약 대시보드'!Print_Area</vt:lpstr>
      <vt:lpstr>표지!Print_Area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2026-08-24T06:40:18Z</dcterms:created>
  <dcterms:modified xsi:type="dcterms:W3CDTF">2026-08-25T08:29:33Z</dcterms:modified>
  <dc:language>en-US</dc:language>
</cp:coreProperties>
</file>